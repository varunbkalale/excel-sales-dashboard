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Varun\Desktop\CALTECH\PRACTICE\Excel\"/>
    </mc:Choice>
  </mc:AlternateContent>
  <bookViews>
    <workbookView xWindow="0" yWindow="0" windowWidth="15345" windowHeight="4545" activeTab="2"/>
  </bookViews>
  <sheets>
    <sheet name="Sheet1" sheetId="2" r:id="rId1"/>
    <sheet name="Dashboard" sheetId="3" r:id="rId2"/>
    <sheet name="sales_data.csv" sheetId="1" r:id="rId3"/>
  </sheets>
  <definedNames>
    <definedName name="_xlnm.Print_Area" localSheetId="1">Dashboard!$A$1:$H$53</definedName>
    <definedName name="Slicer_Region">#N/A</definedName>
  </definedNames>
  <calcPr calcId="152511"/>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calcChain.xml><?xml version="1.0" encoding="utf-8"?>
<calcChain xmlns="http://schemas.openxmlformats.org/spreadsheetml/2006/main">
  <c r="F7" i="3" l="1"/>
  <c r="D7" i="3"/>
  <c r="B7" i="3"/>
  <c r="D3" i="2"/>
  <c r="C3" i="2"/>
  <c r="B3" i="2"/>
  <c r="H7" i="3" l="1"/>
  <c r="E3" i="2"/>
</calcChain>
</file>

<file path=xl/sharedStrings.xml><?xml version="1.0" encoding="utf-8"?>
<sst xmlns="http://schemas.openxmlformats.org/spreadsheetml/2006/main" count="70" uniqueCount="37">
  <si>
    <t>Date</t>
  </si>
  <si>
    <t>Region</t>
  </si>
  <si>
    <t>Product</t>
  </si>
  <si>
    <t>Customer</t>
  </si>
  <si>
    <t>Revenue</t>
  </si>
  <si>
    <t>Expense</t>
  </si>
  <si>
    <t>Budget_Revenue</t>
  </si>
  <si>
    <t>Profit</t>
  </si>
  <si>
    <t>Bangalore</t>
  </si>
  <si>
    <t>Laptop</t>
  </si>
  <si>
    <t>C101</t>
  </si>
  <si>
    <t>Hyderabad</t>
  </si>
  <si>
    <t>Printer</t>
  </si>
  <si>
    <t>C102</t>
  </si>
  <si>
    <t>Pune</t>
  </si>
  <si>
    <t>Desktop</t>
  </si>
  <si>
    <t>C103</t>
  </si>
  <si>
    <t>C104</t>
  </si>
  <si>
    <t>Monitor</t>
  </si>
  <si>
    <t>C105</t>
  </si>
  <si>
    <t>C106</t>
  </si>
  <si>
    <t>C107</t>
  </si>
  <si>
    <t>C108</t>
  </si>
  <si>
    <t>C109</t>
  </si>
  <si>
    <t>C110</t>
  </si>
  <si>
    <t>Row Labels</t>
  </si>
  <si>
    <t>Grand Total</t>
  </si>
  <si>
    <t>Sum of Revenue</t>
  </si>
  <si>
    <t>Revenue by product</t>
  </si>
  <si>
    <t>Sum of Profit</t>
  </si>
  <si>
    <t>Profit by Region</t>
  </si>
  <si>
    <t>Sum of Budget_Revenue</t>
  </si>
  <si>
    <t>Total Revenue</t>
  </si>
  <si>
    <t>Total Profit</t>
  </si>
  <si>
    <t>Total Budgeted Revenue</t>
  </si>
  <si>
    <t>Profit Margin</t>
  </si>
  <si>
    <t xml:space="preserve">Sales Performance Analysis Dashboard </t>
  </si>
</sst>
</file>

<file path=xl/styles.xml><?xml version="1.0" encoding="utf-8"?>
<styleSheet xmlns="http://schemas.openxmlformats.org/spreadsheetml/2006/main" xmlns:mc="http://schemas.openxmlformats.org/markup-compatibility/2006" xmlns:x14ac="http://schemas.microsoft.com/office/spreadsheetml/2009/9/ac" mc:Ignorable="x14ac">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4"/>
      <color theme="1"/>
      <name val="Consolas"/>
      <family val="3"/>
    </font>
    <font>
      <b/>
      <sz val="14"/>
      <color theme="1"/>
      <name val="Consolas"/>
      <family val="3"/>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
      <patternFill patternType="solid">
        <fgColor theme="4" tint="0.79998168889431442"/>
        <bgColor indexed="64"/>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6">
    <xf numFmtId="0" fontId="0" fillId="0" borderId="0" xfId="0"/>
    <xf numFmtId="15" fontId="0" fillId="0" borderId="0" xfId="0" applyNumberFormat="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pivotButton="1"/>
    <xf numFmtId="0" fontId="0" fillId="0" borderId="0" xfId="0" applyAlignment="1">
      <alignment horizontal="left"/>
    </xf>
    <xf numFmtId="0" fontId="0" fillId="0" borderId="0" xfId="0" applyNumberFormat="1"/>
    <xf numFmtId="0" fontId="0" fillId="33" borderId="19" xfId="0" applyFill="1" applyBorder="1" applyAlignment="1">
      <alignment horizontal="center"/>
    </xf>
    <xf numFmtId="0" fontId="0" fillId="33" borderId="19" xfId="0" applyFill="1" applyBorder="1"/>
    <xf numFmtId="0" fontId="0" fillId="33" borderId="20" xfId="0" applyFill="1" applyBorder="1" applyAlignment="1">
      <alignment horizontal="center"/>
    </xf>
    <xf numFmtId="9" fontId="0" fillId="33" borderId="20" xfId="1" applyFont="1" applyFill="1" applyBorder="1" applyAlignment="1">
      <alignment horizontal="center"/>
    </xf>
    <xf numFmtId="0" fontId="18" fillId="33" borderId="19" xfId="0" applyFont="1" applyFill="1" applyBorder="1" applyAlignment="1">
      <alignment horizontal="center"/>
    </xf>
    <xf numFmtId="0" fontId="18" fillId="0" borderId="0" xfId="0" applyFont="1"/>
    <xf numFmtId="0" fontId="18" fillId="33" borderId="19" xfId="0" applyFont="1" applyFill="1" applyBorder="1"/>
    <xf numFmtId="0" fontId="18" fillId="33" borderId="20" xfId="0" applyFont="1" applyFill="1" applyBorder="1" applyAlignment="1">
      <alignment horizontal="center"/>
    </xf>
    <xf numFmtId="9" fontId="18" fillId="33" borderId="20" xfId="1" applyFont="1" applyFill="1" applyBorder="1" applyAlignment="1">
      <alignment horizontal="center"/>
    </xf>
    <xf numFmtId="0" fontId="19" fillId="34" borderId="21" xfId="0" applyFont="1" applyFill="1" applyBorder="1" applyAlignment="1">
      <alignment horizontal="center"/>
    </xf>
    <xf numFmtId="0" fontId="19" fillId="34" borderId="22" xfId="0" applyFont="1" applyFill="1" applyBorder="1" applyAlignment="1">
      <alignment horizontal="center"/>
    </xf>
    <xf numFmtId="0" fontId="19" fillId="34" borderId="23" xfId="0" applyFont="1" applyFill="1" applyBorder="1" applyAlignment="1">
      <alignment horizont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1">
    <dxf>
      <numFmt numFmtId="20" formatCode="dd/m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[sales_data.xlsx]Sheet1!PivotTable1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product</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Sheet1!$B$6</c:f>
              <c:strCache>
                <c:ptCount val="1"/>
                <c:pt idx="0">
                  <c:v>Total</c:v>
                </c:pt>
              </c:strCache>
            </c:strRef>
          </c:tx>
          <c:spPr>
            <a:solidFill>
              <a:schemeClr val="accent1"/>
            </a:solidFill>
            <a:ln>
              <a:noFill/>
            </a:ln>
            <a:effectLst/>
          </c:spPr>
          <c:invertIfNegative val="0"/>
          <c:cat>
            <c:strRef>
              <c:f>Sheet1!$A$7:$A$11</c:f>
              <c:strCache>
                <c:ptCount val="4"/>
                <c:pt idx="0">
                  <c:v>Monitor</c:v>
                </c:pt>
                <c:pt idx="1">
                  <c:v>Printer</c:v>
                </c:pt>
                <c:pt idx="2">
                  <c:v>Desktop</c:v>
                </c:pt>
                <c:pt idx="3">
                  <c:v>Laptop</c:v>
                </c:pt>
              </c:strCache>
            </c:strRef>
          </c:cat>
          <c:val>
            <c:numRef>
              <c:f>Sheet1!$B$7:$B$11</c:f>
              <c:numCache>
                <c:formatCode>General</c:formatCode>
                <c:ptCount val="4"/>
                <c:pt idx="0">
                  <c:v>57000</c:v>
                </c:pt>
                <c:pt idx="1">
                  <c:v>79000</c:v>
                </c:pt>
                <c:pt idx="2">
                  <c:v>135000</c:v>
                </c:pt>
                <c:pt idx="3">
                  <c:v>265000</c:v>
                </c:pt>
              </c:numCache>
            </c:numRef>
          </c:val>
        </c:ser>
        <c:dLbls>
          <c:showLegendKey val="0"/>
          <c:showVal val="0"/>
          <c:showCatName val="0"/>
          <c:showSerName val="0"/>
          <c:showPercent val="0"/>
          <c:showBubbleSize val="0"/>
        </c:dLbls>
        <c:gapWidth val="182"/>
        <c:axId val="322215768"/>
        <c:axId val="322216160"/>
      </c:barChart>
      <c:catAx>
        <c:axId val="3222157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216160"/>
        <c:crosses val="autoZero"/>
        <c:auto val="1"/>
        <c:lblAlgn val="ctr"/>
        <c:lblOffset val="100"/>
        <c:noMultiLvlLbl val="0"/>
      </c:catAx>
      <c:valAx>
        <c:axId val="3222161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21576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[sales_data.xlsx]Sheet1!PivotTable2</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Sheet1!$B$26</c:f>
              <c:strCache>
                <c:ptCount val="1"/>
                <c:pt idx="0">
                  <c:v>Total</c:v>
                </c:pt>
              </c:strCache>
            </c:strRef>
          </c:tx>
          <c:spPr>
            <a:solidFill>
              <a:schemeClr val="accent1"/>
            </a:solidFill>
            <a:ln>
              <a:noFill/>
            </a:ln>
            <a:effectLst/>
          </c:spPr>
          <c:invertIfNegative val="0"/>
          <c:cat>
            <c:strRef>
              <c:f>Sheet1!$A$27:$A$30</c:f>
              <c:strCache>
                <c:ptCount val="3"/>
                <c:pt idx="0">
                  <c:v>Bangalore</c:v>
                </c:pt>
                <c:pt idx="1">
                  <c:v>Hyderabad</c:v>
                </c:pt>
                <c:pt idx="2">
                  <c:v>Pune</c:v>
                </c:pt>
              </c:strCache>
            </c:strRef>
          </c:cat>
          <c:val>
            <c:numRef>
              <c:f>Sheet1!$B$27:$B$30</c:f>
              <c:numCache>
                <c:formatCode>General</c:formatCode>
                <c:ptCount val="3"/>
                <c:pt idx="0">
                  <c:v>77500</c:v>
                </c:pt>
                <c:pt idx="1">
                  <c:v>40000</c:v>
                </c:pt>
                <c:pt idx="2">
                  <c:v>34000</c:v>
                </c:pt>
              </c:numCache>
            </c:numRef>
          </c:val>
        </c:ser>
        <c:dLbls>
          <c:showLegendKey val="0"/>
          <c:showVal val="0"/>
          <c:showCatName val="0"/>
          <c:showSerName val="0"/>
          <c:showPercent val="0"/>
          <c:showBubbleSize val="0"/>
        </c:dLbls>
        <c:gapWidth val="219"/>
        <c:overlap val="-27"/>
        <c:axId val="322217336"/>
        <c:axId val="324659080"/>
      </c:barChart>
      <c:catAx>
        <c:axId val="322217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659080"/>
        <c:crosses val="autoZero"/>
        <c:auto val="1"/>
        <c:lblAlgn val="ctr"/>
        <c:lblOffset val="100"/>
        <c:noMultiLvlLbl val="0"/>
      </c:catAx>
      <c:valAx>
        <c:axId val="324659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21733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[sales_data.xlsx]Sheet1!PivotTable1</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Revenue by product</a:t>
            </a:r>
          </a:p>
        </c:rich>
      </c:tx>
      <c:layout>
        <c:manualLayout>
          <c:xMode val="edge"/>
          <c:yMode val="edge"/>
          <c:x val="0.38903348592117881"/>
          <c:y val="4.4528916644040184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32427307532178357"/>
          <c:y val="0.27500510712023057"/>
          <c:w val="0.59487514297049482"/>
          <c:h val="0.47410315089924104"/>
        </c:manualLayout>
      </c:layout>
      <c:barChart>
        <c:barDir val="bar"/>
        <c:grouping val="clustered"/>
        <c:varyColors val="0"/>
        <c:ser>
          <c:idx val="0"/>
          <c:order val="0"/>
          <c:tx>
            <c:strRef>
              <c:f>Sheet1!$B$6</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Sheet1!$A$7:$A$11</c:f>
              <c:strCache>
                <c:ptCount val="4"/>
                <c:pt idx="0">
                  <c:v>Monitor</c:v>
                </c:pt>
                <c:pt idx="1">
                  <c:v>Printer</c:v>
                </c:pt>
                <c:pt idx="2">
                  <c:v>Desktop</c:v>
                </c:pt>
                <c:pt idx="3">
                  <c:v>Laptop</c:v>
                </c:pt>
              </c:strCache>
            </c:strRef>
          </c:cat>
          <c:val>
            <c:numRef>
              <c:f>Sheet1!$B$7:$B$11</c:f>
              <c:numCache>
                <c:formatCode>General</c:formatCode>
                <c:ptCount val="4"/>
                <c:pt idx="0">
                  <c:v>57000</c:v>
                </c:pt>
                <c:pt idx="1">
                  <c:v>79000</c:v>
                </c:pt>
                <c:pt idx="2">
                  <c:v>135000</c:v>
                </c:pt>
                <c:pt idx="3">
                  <c:v>265000</c:v>
                </c:pt>
              </c:numCache>
            </c:numRef>
          </c:val>
        </c:ser>
        <c:dLbls>
          <c:dLblPos val="inEnd"/>
          <c:showLegendKey val="0"/>
          <c:showVal val="1"/>
          <c:showCatName val="0"/>
          <c:showSerName val="0"/>
          <c:showPercent val="0"/>
          <c:showBubbleSize val="0"/>
        </c:dLbls>
        <c:gapWidth val="65"/>
        <c:axId val="324660648"/>
        <c:axId val="324656336"/>
      </c:barChart>
      <c:catAx>
        <c:axId val="324660648"/>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Products</a:t>
                </a:r>
              </a:p>
            </c:rich>
          </c:tx>
          <c:layout>
            <c:manualLayout>
              <c:xMode val="edge"/>
              <c:yMode val="edge"/>
              <c:x val="0.11071243029462885"/>
              <c:y val="0.35320584926884141"/>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24656336"/>
        <c:crosses val="autoZero"/>
        <c:auto val="1"/>
        <c:lblAlgn val="ctr"/>
        <c:lblOffset val="100"/>
        <c:noMultiLvlLbl val="0"/>
      </c:catAx>
      <c:valAx>
        <c:axId val="324656336"/>
        <c:scaling>
          <c:orientation val="minMax"/>
        </c:scaling>
        <c:delete val="0"/>
        <c:axPos val="b"/>
        <c:majorGridlines>
          <c:spPr>
            <a:ln w="9525" cap="flat" cmpd="sng" algn="ctr">
              <a:noFill/>
              <a:round/>
            </a:ln>
            <a:effectLst/>
          </c:spPr>
        </c:majorGridlines>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Revenue</a:t>
                </a:r>
              </a:p>
            </c:rich>
          </c:tx>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24660648"/>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[sales_data.xlsx]Sheet1!PivotTable2</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Profit by Region</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Sheet1!$B$26</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Sheet1!$A$27:$A$30</c:f>
              <c:strCache>
                <c:ptCount val="3"/>
                <c:pt idx="0">
                  <c:v>Bangalore</c:v>
                </c:pt>
                <c:pt idx="1">
                  <c:v>Hyderabad</c:v>
                </c:pt>
                <c:pt idx="2">
                  <c:v>Pune</c:v>
                </c:pt>
              </c:strCache>
            </c:strRef>
          </c:cat>
          <c:val>
            <c:numRef>
              <c:f>Sheet1!$B$27:$B$30</c:f>
              <c:numCache>
                <c:formatCode>General</c:formatCode>
                <c:ptCount val="3"/>
                <c:pt idx="0">
                  <c:v>77500</c:v>
                </c:pt>
                <c:pt idx="1">
                  <c:v>40000</c:v>
                </c:pt>
                <c:pt idx="2">
                  <c:v>34000</c:v>
                </c:pt>
              </c:numCache>
            </c:numRef>
          </c:val>
        </c:ser>
        <c:dLbls>
          <c:dLblPos val="inEnd"/>
          <c:showLegendKey val="0"/>
          <c:showVal val="1"/>
          <c:showCatName val="0"/>
          <c:showSerName val="0"/>
          <c:showPercent val="0"/>
          <c:showBubbleSize val="0"/>
        </c:dLbls>
        <c:gapWidth val="65"/>
        <c:axId val="324661040"/>
        <c:axId val="324659472"/>
      </c:barChart>
      <c:catAx>
        <c:axId val="32466104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Regions</a:t>
                </a:r>
              </a:p>
            </c:rich>
          </c:tx>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24659472"/>
        <c:crosses val="autoZero"/>
        <c:auto val="1"/>
        <c:lblAlgn val="ctr"/>
        <c:lblOffset val="100"/>
        <c:noMultiLvlLbl val="0"/>
      </c:catAx>
      <c:valAx>
        <c:axId val="324659472"/>
        <c:scaling>
          <c:orientation val="minMax"/>
        </c:scaling>
        <c:delete val="1"/>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Profit</a:t>
                </a:r>
              </a:p>
            </c:rich>
          </c:tx>
          <c:layout>
            <c:manualLayout>
              <c:xMode val="edge"/>
              <c:yMode val="edge"/>
              <c:x val="1.1951051504326845E-2"/>
              <c:y val="0.27381129990330155"/>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crossAx val="324661040"/>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552450</xdr:colOff>
      <xdr:row>4</xdr:row>
      <xdr:rowOff>38100</xdr:rowOff>
    </xdr:from>
    <xdr:to>
      <xdr:col>8</xdr:col>
      <xdr:colOff>533400</xdr:colOff>
      <xdr:row>16</xdr:row>
      <xdr:rowOff>38100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557212</xdr:colOff>
      <xdr:row>23</xdr:row>
      <xdr:rowOff>114300</xdr:rowOff>
    </xdr:from>
    <xdr:to>
      <xdr:col>8</xdr:col>
      <xdr:colOff>504825</xdr:colOff>
      <xdr:row>35</xdr:row>
      <xdr:rowOff>180975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99172</xdr:colOff>
      <xdr:row>38</xdr:row>
      <xdr:rowOff>81242</xdr:rowOff>
    </xdr:from>
    <xdr:to>
      <xdr:col>8</xdr:col>
      <xdr:colOff>112619</xdr:colOff>
      <xdr:row>51</xdr:row>
      <xdr:rowOff>128867</xdr:rowOff>
    </xdr:to>
    <mc:AlternateContent xmlns:mc="http://schemas.openxmlformats.org/markup-compatibility/2006" xmlns:a14="http://schemas.microsoft.com/office/drawing/2010/main">
      <mc:Choice Requires="a14">
        <xdr:graphicFrame macro="">
          <xdr:nvGraphicFramePr>
            <xdr:cNvPr id="4"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522819" y="7320242"/>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7</xdr:row>
      <xdr:rowOff>142875</xdr:rowOff>
    </xdr:from>
    <xdr:to>
      <xdr:col>8</xdr:col>
      <xdr:colOff>0</xdr:colOff>
      <xdr:row>23</xdr:row>
      <xdr:rowOff>161924</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9525</xdr:colOff>
      <xdr:row>24</xdr:row>
      <xdr:rowOff>104775</xdr:rowOff>
    </xdr:from>
    <xdr:to>
      <xdr:col>7</xdr:col>
      <xdr:colOff>1333500</xdr:colOff>
      <xdr:row>44</xdr:row>
      <xdr:rowOff>66675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28575</xdr:colOff>
      <xdr:row>45</xdr:row>
      <xdr:rowOff>38101</xdr:rowOff>
    </xdr:from>
    <xdr:to>
      <xdr:col>7</xdr:col>
      <xdr:colOff>1333500</xdr:colOff>
      <xdr:row>52</xdr:row>
      <xdr:rowOff>57151</xdr:rowOff>
    </xdr:to>
    <mc:AlternateContent xmlns:mc="http://schemas.openxmlformats.org/markup-compatibility/2006">
      <mc:Choice xmlns:a14="http://schemas.microsoft.com/office/drawing/2010/main" Requires="a14">
        <xdr:graphicFrame macro="">
          <xdr:nvGraphicFramePr>
            <xdr:cNvPr id="4"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631825" y="8785226"/>
              <a:ext cx="6559550" cy="1352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Varun" refreshedDate="46101.543529513889" createdVersion="5" refreshedVersion="5" minRefreshableVersion="3" recordCount="10">
  <cacheSource type="worksheet">
    <worksheetSource name="Table1"/>
  </cacheSource>
  <cacheFields count="8">
    <cacheField name="Date" numFmtId="15">
      <sharedItems containsSemiMixedTypes="0" containsNonDate="0" containsDate="1" containsString="0" minDate="2025-01-01T00:00:00" maxDate="2025-01-11T00:00:00"/>
    </cacheField>
    <cacheField name="Region" numFmtId="0">
      <sharedItems count="3">
        <s v="Bangalore"/>
        <s v="Hyderabad"/>
        <s v="Pune"/>
      </sharedItems>
    </cacheField>
    <cacheField name="Product" numFmtId="0">
      <sharedItems count="4">
        <s v="Laptop"/>
        <s v="Printer"/>
        <s v="Desktop"/>
        <s v="Monitor"/>
      </sharedItems>
    </cacheField>
    <cacheField name="Customer" numFmtId="0">
      <sharedItems/>
    </cacheField>
    <cacheField name="Revenue" numFmtId="0">
      <sharedItems containsSemiMixedTypes="0" containsString="0" containsNumber="1" containsInteger="1" minValue="25000" maxValue="92000"/>
    </cacheField>
    <cacheField name="Expense" numFmtId="0">
      <sharedItems containsSemiMixedTypes="0" containsString="0" containsNumber="1" containsInteger="1" minValue="18000" maxValue="70000"/>
    </cacheField>
    <cacheField name="Budget_Revenue" numFmtId="0">
      <sharedItems containsSemiMixedTypes="0" containsString="0" containsNumber="1" containsInteger="1" minValue="28000" maxValue="95000"/>
    </cacheField>
    <cacheField name="Profit" numFmtId="0">
      <sharedItems containsSemiMixedTypes="0" containsString="0" containsNumber="1" containsInteger="1" minValue="7000" maxValue="2500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
  <r>
    <d v="2025-01-01T00:00:00"/>
    <x v="0"/>
    <x v="0"/>
    <s v="C101"/>
    <n v="85000"/>
    <n v="62000"/>
    <n v="90000"/>
    <n v="23000"/>
  </r>
  <r>
    <d v="2025-01-02T00:00:00"/>
    <x v="1"/>
    <x v="1"/>
    <s v="C102"/>
    <n v="25000"/>
    <n v="18000"/>
    <n v="30000"/>
    <n v="7000"/>
  </r>
  <r>
    <d v="2025-01-03T00:00:00"/>
    <x v="2"/>
    <x v="2"/>
    <s v="C103"/>
    <n v="60000"/>
    <n v="42000"/>
    <n v="65000"/>
    <n v="18000"/>
  </r>
  <r>
    <d v="2025-01-04T00:00:00"/>
    <x v="0"/>
    <x v="0"/>
    <s v="C104"/>
    <n v="92000"/>
    <n v="70000"/>
    <n v="95000"/>
    <n v="22000"/>
  </r>
  <r>
    <d v="2025-01-05T00:00:00"/>
    <x v="1"/>
    <x v="3"/>
    <s v="C105"/>
    <n v="30000"/>
    <n v="21000"/>
    <n v="32000"/>
    <n v="9000"/>
  </r>
  <r>
    <d v="2025-01-06T00:00:00"/>
    <x v="2"/>
    <x v="1"/>
    <s v="C106"/>
    <n v="28000"/>
    <n v="19000"/>
    <n v="30000"/>
    <n v="9000"/>
  </r>
  <r>
    <d v="2025-01-07T00:00:00"/>
    <x v="0"/>
    <x v="2"/>
    <s v="C107"/>
    <n v="75000"/>
    <n v="50000"/>
    <n v="80000"/>
    <n v="25000"/>
  </r>
  <r>
    <d v="2025-01-08T00:00:00"/>
    <x v="1"/>
    <x v="0"/>
    <s v="C108"/>
    <n v="88000"/>
    <n v="64000"/>
    <n v="90000"/>
    <n v="24000"/>
  </r>
  <r>
    <d v="2025-01-09T00:00:00"/>
    <x v="2"/>
    <x v="3"/>
    <s v="C109"/>
    <n v="27000"/>
    <n v="20000"/>
    <n v="29000"/>
    <n v="7000"/>
  </r>
  <r>
    <d v="2025-01-10T00:00:00"/>
    <x v="0"/>
    <x v="1"/>
    <s v="C110"/>
    <n v="26000"/>
    <n v="18500"/>
    <n v="28000"/>
    <n v="75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rowHeaderCaption="Region">
  <location ref="A26:B30" firstHeaderRow="1" firstDataRow="1" firstDataCol="1"/>
  <pivotFields count="8">
    <pivotField numFmtId="15" showAll="0"/>
    <pivotField axis="axisRow" showAll="0">
      <items count="4">
        <item x="0"/>
        <item x="1"/>
        <item x="2"/>
        <item t="default"/>
      </items>
    </pivotField>
    <pivotField showAll="0"/>
    <pivotField showAll="0"/>
    <pivotField showAll="0"/>
    <pivotField showAll="0"/>
    <pivotField showAll="0"/>
    <pivotField dataField="1" showAll="0"/>
  </pivotFields>
  <rowFields count="1">
    <field x="1"/>
  </rowFields>
  <rowItems count="4">
    <i>
      <x/>
    </i>
    <i>
      <x v="1"/>
    </i>
    <i>
      <x v="2"/>
    </i>
    <i t="grand">
      <x/>
    </i>
  </rowItems>
  <colItems count="1">
    <i/>
  </colItems>
  <dataFields count="1">
    <dataField name="Sum of Profit" fld="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8" rowHeaderCaption="Product">
  <location ref="A6:B11" firstHeaderRow="1" firstDataRow="1" firstDataCol="1"/>
  <pivotFields count="8">
    <pivotField numFmtId="15" showAll="0"/>
    <pivotField showAll="0"/>
    <pivotField axis="axisRow" showAll="0" sortType="ascending">
      <items count="5">
        <item x="2"/>
        <item x="0"/>
        <item x="3"/>
        <item x="1"/>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s>
  <rowFields count="1">
    <field x="2"/>
  </rowFields>
  <rowItems count="5">
    <i>
      <x v="2"/>
    </i>
    <i>
      <x v="3"/>
    </i>
    <i>
      <x/>
    </i>
    <i>
      <x v="1"/>
    </i>
    <i t="grand">
      <x/>
    </i>
  </rowItems>
  <colItems count="1">
    <i/>
  </colItems>
  <dataFields count="1">
    <dataField name="Sum of Revenue" fld="4"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50:C67" firstHeaderRow="1" firstDataRow="1" firstDataCol="0"/>
  <pivotFields count="8">
    <pivotField numFmtId="15" showAll="0"/>
    <pivotField showAll="0">
      <items count="4">
        <item x="0"/>
        <item x="1"/>
        <item x="2"/>
        <item t="default"/>
      </items>
    </pivotField>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40:C45" firstHeaderRow="0" firstDataRow="1" firstDataCol="1"/>
  <pivotFields count="8">
    <pivotField numFmtId="15" showAll="0"/>
    <pivotField showAll="0"/>
    <pivotField axis="axisRow" showAll="0">
      <items count="5">
        <item x="2"/>
        <item x="0"/>
        <item x="3"/>
        <item x="1"/>
        <item t="default"/>
      </items>
    </pivotField>
    <pivotField showAll="0"/>
    <pivotField dataField="1" showAll="0"/>
    <pivotField showAll="0"/>
    <pivotField dataField="1" showAll="0"/>
    <pivotField showAll="0"/>
  </pivotFields>
  <rowFields count="1">
    <field x="2"/>
  </rowFields>
  <rowItems count="5">
    <i>
      <x/>
    </i>
    <i>
      <x v="1"/>
    </i>
    <i>
      <x v="2"/>
    </i>
    <i>
      <x v="3"/>
    </i>
    <i t="grand">
      <x/>
    </i>
  </rowItems>
  <colFields count="1">
    <field x="-2"/>
  </colFields>
  <colItems count="2">
    <i>
      <x/>
    </i>
    <i i="1">
      <x v="1"/>
    </i>
  </colItems>
  <dataFields count="2">
    <dataField name="Sum of Revenue" fld="4" baseField="0" baseItem="0"/>
    <dataField name="Sum of Budget_Revenue"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 name="PivotTable5"/>
  </pivotTables>
  <data>
    <tabular pivotCacheId="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Region 1" cache="Slicer_Region" caption="Region" rowHeight="241300"/>
</slicers>
</file>

<file path=xl/tables/table1.xml><?xml version="1.0" encoding="utf-8"?>
<table xmlns="http://schemas.openxmlformats.org/spreadsheetml/2006/main" id="1" name="Table1" displayName="Table1" ref="A1:H11" totalsRowShown="0">
  <autoFilter ref="A1:H11"/>
  <tableColumns count="8">
    <tableColumn id="1" name="Date" dataDxfId="0"/>
    <tableColumn id="2" name="Region"/>
    <tableColumn id="3" name="Product"/>
    <tableColumn id="4" name="Customer"/>
    <tableColumn id="5" name="Revenue"/>
    <tableColumn id="6" name="Expense"/>
    <tableColumn id="7" name="Budget_Revenue"/>
    <tableColumn id="8"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67"/>
  <sheetViews>
    <sheetView topLeftCell="A34" zoomScale="85" zoomScaleNormal="85" workbookViewId="0">
      <selection activeCell="B2" sqref="B2:E3"/>
    </sheetView>
  </sheetViews>
  <sheetFormatPr defaultRowHeight="15" x14ac:dyDescent="0.25"/>
  <cols>
    <col min="1" max="1" width="11.28515625" customWidth="1"/>
    <col min="2" max="2" width="15.5703125" customWidth="1"/>
    <col min="3" max="3" width="18.140625" customWidth="1"/>
    <col min="4" max="4" width="23.140625" bestFit="1" customWidth="1"/>
    <col min="5" max="5" width="13.140625" customWidth="1"/>
  </cols>
  <sheetData>
    <row r="2" spans="1:5" x14ac:dyDescent="0.25">
      <c r="B2" s="14" t="s">
        <v>32</v>
      </c>
      <c r="C2" s="14" t="s">
        <v>33</v>
      </c>
      <c r="D2" s="14" t="s">
        <v>34</v>
      </c>
      <c r="E2" s="15" t="s">
        <v>35</v>
      </c>
    </row>
    <row r="3" spans="1:5" x14ac:dyDescent="0.25">
      <c r="B3" s="16">
        <f>SUM(Table1[Revenue])</f>
        <v>536000</v>
      </c>
      <c r="C3" s="16">
        <f>SUM(Table1[Profit])</f>
        <v>151500</v>
      </c>
      <c r="D3" s="16">
        <f>SUM(Table1[Budget_Revenue])</f>
        <v>569000</v>
      </c>
      <c r="E3" s="17">
        <f>+(C3/B3)</f>
        <v>0.28264925373134331</v>
      </c>
    </row>
    <row r="5" spans="1:5" x14ac:dyDescent="0.25">
      <c r="A5" t="s">
        <v>28</v>
      </c>
    </row>
    <row r="6" spans="1:5" x14ac:dyDescent="0.25">
      <c r="A6" s="11" t="s">
        <v>2</v>
      </c>
      <c r="B6" t="s">
        <v>27</v>
      </c>
    </row>
    <row r="7" spans="1:5" x14ac:dyDescent="0.25">
      <c r="A7" s="12" t="s">
        <v>18</v>
      </c>
      <c r="B7" s="13">
        <v>57000</v>
      </c>
    </row>
    <row r="8" spans="1:5" x14ac:dyDescent="0.25">
      <c r="A8" s="12" t="s">
        <v>12</v>
      </c>
      <c r="B8" s="13">
        <v>79000</v>
      </c>
    </row>
    <row r="9" spans="1:5" x14ac:dyDescent="0.25">
      <c r="A9" s="12" t="s">
        <v>15</v>
      </c>
      <c r="B9" s="13">
        <v>135000</v>
      </c>
    </row>
    <row r="10" spans="1:5" x14ac:dyDescent="0.25">
      <c r="A10" s="12" t="s">
        <v>9</v>
      </c>
      <c r="B10" s="13">
        <v>265000</v>
      </c>
    </row>
    <row r="11" spans="1:5" x14ac:dyDescent="0.25">
      <c r="A11" s="12" t="s">
        <v>26</v>
      </c>
      <c r="B11" s="13">
        <v>536000</v>
      </c>
    </row>
    <row r="25" spans="1:2" x14ac:dyDescent="0.25">
      <c r="A25" t="s">
        <v>30</v>
      </c>
    </row>
    <row r="26" spans="1:2" x14ac:dyDescent="0.25">
      <c r="A26" s="11" t="s">
        <v>1</v>
      </c>
      <c r="B26" t="s">
        <v>29</v>
      </c>
    </row>
    <row r="27" spans="1:2" x14ac:dyDescent="0.25">
      <c r="A27" s="12" t="s">
        <v>8</v>
      </c>
      <c r="B27" s="13">
        <v>77500</v>
      </c>
    </row>
    <row r="28" spans="1:2" x14ac:dyDescent="0.25">
      <c r="A28" s="12" t="s">
        <v>11</v>
      </c>
      <c r="B28" s="13">
        <v>40000</v>
      </c>
    </row>
    <row r="29" spans="1:2" x14ac:dyDescent="0.25">
      <c r="A29" s="12" t="s">
        <v>14</v>
      </c>
      <c r="B29" s="13">
        <v>34000</v>
      </c>
    </row>
    <row r="30" spans="1:2" x14ac:dyDescent="0.25">
      <c r="A30" s="12" t="s">
        <v>26</v>
      </c>
      <c r="B30" s="13">
        <v>151500</v>
      </c>
    </row>
    <row r="40" spans="1:3" x14ac:dyDescent="0.25">
      <c r="A40" s="11" t="s">
        <v>25</v>
      </c>
      <c r="B40" t="s">
        <v>27</v>
      </c>
      <c r="C40" t="s">
        <v>31</v>
      </c>
    </row>
    <row r="41" spans="1:3" x14ac:dyDescent="0.25">
      <c r="A41" s="12" t="s">
        <v>15</v>
      </c>
      <c r="B41" s="13">
        <v>135000</v>
      </c>
      <c r="C41" s="13">
        <v>145000</v>
      </c>
    </row>
    <row r="42" spans="1:3" x14ac:dyDescent="0.25">
      <c r="A42" s="12" t="s">
        <v>9</v>
      </c>
      <c r="B42" s="13">
        <v>265000</v>
      </c>
      <c r="C42" s="13">
        <v>275000</v>
      </c>
    </row>
    <row r="43" spans="1:3" x14ac:dyDescent="0.25">
      <c r="A43" s="12" t="s">
        <v>18</v>
      </c>
      <c r="B43" s="13">
        <v>57000</v>
      </c>
      <c r="C43" s="13">
        <v>61000</v>
      </c>
    </row>
    <row r="44" spans="1:3" x14ac:dyDescent="0.25">
      <c r="A44" s="12" t="s">
        <v>12</v>
      </c>
      <c r="B44" s="13">
        <v>79000</v>
      </c>
      <c r="C44" s="13">
        <v>88000</v>
      </c>
    </row>
    <row r="45" spans="1:3" x14ac:dyDescent="0.25">
      <c r="A45" s="12" t="s">
        <v>26</v>
      </c>
      <c r="B45" s="13">
        <v>536000</v>
      </c>
      <c r="C45" s="13">
        <v>569000</v>
      </c>
    </row>
    <row r="50" spans="1:3" x14ac:dyDescent="0.25">
      <c r="A50" s="2"/>
      <c r="B50" s="3"/>
      <c r="C50" s="4"/>
    </row>
    <row r="51" spans="1:3" x14ac:dyDescent="0.25">
      <c r="A51" s="5"/>
      <c r="B51" s="6"/>
      <c r="C51" s="7"/>
    </row>
    <row r="52" spans="1:3" x14ac:dyDescent="0.25">
      <c r="A52" s="5"/>
      <c r="B52" s="6"/>
      <c r="C52" s="7"/>
    </row>
    <row r="53" spans="1:3" x14ac:dyDescent="0.25">
      <c r="A53" s="5"/>
      <c r="B53" s="6"/>
      <c r="C53" s="7"/>
    </row>
    <row r="54" spans="1:3" x14ac:dyDescent="0.25">
      <c r="A54" s="5"/>
      <c r="B54" s="6"/>
      <c r="C54" s="7"/>
    </row>
    <row r="55" spans="1:3" x14ac:dyDescent="0.25">
      <c r="A55" s="5"/>
      <c r="B55" s="6"/>
      <c r="C55" s="7"/>
    </row>
    <row r="56" spans="1:3" x14ac:dyDescent="0.25">
      <c r="A56" s="5"/>
      <c r="B56" s="6"/>
      <c r="C56" s="7"/>
    </row>
    <row r="57" spans="1:3" x14ac:dyDescent="0.25">
      <c r="A57" s="5"/>
      <c r="B57" s="6"/>
      <c r="C57" s="7"/>
    </row>
    <row r="58" spans="1:3" x14ac:dyDescent="0.25">
      <c r="A58" s="5"/>
      <c r="B58" s="6"/>
      <c r="C58" s="7"/>
    </row>
    <row r="59" spans="1:3" x14ac:dyDescent="0.25">
      <c r="A59" s="5"/>
      <c r="B59" s="6"/>
      <c r="C59" s="7"/>
    </row>
    <row r="60" spans="1:3" x14ac:dyDescent="0.25">
      <c r="A60" s="5"/>
      <c r="B60" s="6"/>
      <c r="C60" s="7"/>
    </row>
    <row r="61" spans="1:3" x14ac:dyDescent="0.25">
      <c r="A61" s="5"/>
      <c r="B61" s="6"/>
      <c r="C61" s="7"/>
    </row>
    <row r="62" spans="1:3" x14ac:dyDescent="0.25">
      <c r="A62" s="5"/>
      <c r="B62" s="6"/>
      <c r="C62" s="7"/>
    </row>
    <row r="63" spans="1:3" x14ac:dyDescent="0.25">
      <c r="A63" s="5"/>
      <c r="B63" s="6"/>
      <c r="C63" s="7"/>
    </row>
    <row r="64" spans="1:3" x14ac:dyDescent="0.25">
      <c r="A64" s="5"/>
      <c r="B64" s="6"/>
      <c r="C64" s="7"/>
    </row>
    <row r="65" spans="1:3" x14ac:dyDescent="0.25">
      <c r="A65" s="5"/>
      <c r="B65" s="6"/>
      <c r="C65" s="7"/>
    </row>
    <row r="66" spans="1:3" x14ac:dyDescent="0.25">
      <c r="A66" s="5"/>
      <c r="B66" s="6"/>
      <c r="C66" s="7"/>
    </row>
    <row r="67" spans="1:3" x14ac:dyDescent="0.25">
      <c r="A67" s="8"/>
      <c r="B67" s="9"/>
      <c r="C67" s="10"/>
    </row>
  </sheetData>
  <pageMargins left="0.7" right="0.7" top="0.75" bottom="0.75" header="0.3" footer="0.3"/>
  <pageSetup orientation="portrait" r:id="rId5"/>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H7"/>
  <sheetViews>
    <sheetView view="pageBreakPreview" topLeftCell="B1" zoomScale="60" zoomScaleNormal="100" workbookViewId="0">
      <selection activeCell="B1" sqref="B1:D1048576"/>
    </sheetView>
  </sheetViews>
  <sheetFormatPr defaultRowHeight="15" x14ac:dyDescent="0.25"/>
  <cols>
    <col min="2" max="2" width="20.140625" bestFit="1" customWidth="1"/>
    <col min="3" max="3" width="2.42578125" customWidth="1"/>
    <col min="4" max="4" width="18.7109375" bestFit="1" customWidth="1"/>
    <col min="5" max="5" width="2.140625" customWidth="1"/>
    <col min="6" max="6" width="33.42578125" bestFit="1" customWidth="1"/>
    <col min="7" max="7" width="1.85546875" customWidth="1"/>
    <col min="8" max="8" width="20.140625" bestFit="1" customWidth="1"/>
  </cols>
  <sheetData>
    <row r="2" spans="2:8" ht="15.75" thickBot="1" x14ac:dyDescent="0.3"/>
    <row r="3" spans="2:8" ht="19.5" thickBot="1" x14ac:dyDescent="0.35">
      <c r="B3" s="23" t="s">
        <v>36</v>
      </c>
      <c r="C3" s="24"/>
      <c r="D3" s="24"/>
      <c r="E3" s="24"/>
      <c r="F3" s="24"/>
      <c r="G3" s="24"/>
      <c r="H3" s="25"/>
    </row>
    <row r="6" spans="2:8" ht="18.75" x14ac:dyDescent="0.3">
      <c r="B6" s="18" t="s">
        <v>32</v>
      </c>
      <c r="C6" s="19"/>
      <c r="D6" s="18" t="s">
        <v>33</v>
      </c>
      <c r="E6" s="19"/>
      <c r="F6" s="18" t="s">
        <v>34</v>
      </c>
      <c r="G6" s="19"/>
      <c r="H6" s="20" t="s">
        <v>35</v>
      </c>
    </row>
    <row r="7" spans="2:8" ht="18.75" x14ac:dyDescent="0.3">
      <c r="B7" s="21">
        <f>SUM(Table1[Revenue])</f>
        <v>536000</v>
      </c>
      <c r="C7" s="19"/>
      <c r="D7" s="21">
        <f>SUM(Table1[Profit])</f>
        <v>151500</v>
      </c>
      <c r="E7" s="19"/>
      <c r="F7" s="21">
        <f>SUM(Table1[Budget_Revenue])</f>
        <v>569000</v>
      </c>
      <c r="G7" s="19"/>
      <c r="H7" s="22">
        <f>+(D7/B7)</f>
        <v>0.28264925373134331</v>
      </c>
    </row>
  </sheetData>
  <mergeCells count="1">
    <mergeCell ref="B3:H3"/>
  </mergeCells>
  <pageMargins left="0.70866141732283472" right="0.70866141732283472" top="0.74803149606299213" bottom="0.74803149606299213" header="0.31496062992125984" footer="0.31496062992125984"/>
  <pageSetup scale="87" fitToWidth="2" orientation="portrait" r:id="rId1"/>
  <colBreaks count="1" manualBreakCount="1">
    <brk id="1" max="1048575" man="1"/>
  </colBreaks>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
  <sheetViews>
    <sheetView tabSelected="1" workbookViewId="0">
      <selection activeCell="E18" sqref="E18"/>
    </sheetView>
  </sheetViews>
  <sheetFormatPr defaultRowHeight="15" x14ac:dyDescent="0.25"/>
  <cols>
    <col min="2" max="2" width="9.28515625" customWidth="1"/>
    <col min="3" max="3" width="10" customWidth="1"/>
    <col min="4" max="4" width="11.7109375" customWidth="1"/>
    <col min="5" max="5" width="11" customWidth="1"/>
    <col min="6" max="6" width="10.5703125" customWidth="1"/>
    <col min="7" max="7" width="18.28515625" customWidth="1"/>
  </cols>
  <sheetData>
    <row r="1" spans="1:8" x14ac:dyDescent="0.25">
      <c r="A1" t="s">
        <v>0</v>
      </c>
      <c r="B1" t="s">
        <v>1</v>
      </c>
      <c r="C1" t="s">
        <v>2</v>
      </c>
      <c r="D1" t="s">
        <v>3</v>
      </c>
      <c r="E1" t="s">
        <v>4</v>
      </c>
      <c r="F1" t="s">
        <v>5</v>
      </c>
      <c r="G1" t="s">
        <v>6</v>
      </c>
      <c r="H1" t="s">
        <v>7</v>
      </c>
    </row>
    <row r="2" spans="1:8" x14ac:dyDescent="0.25">
      <c r="A2" s="1">
        <v>45658</v>
      </c>
      <c r="B2" t="s">
        <v>8</v>
      </c>
      <c r="C2" t="s">
        <v>9</v>
      </c>
      <c r="D2" t="s">
        <v>10</v>
      </c>
      <c r="E2">
        <v>85000</v>
      </c>
      <c r="F2">
        <v>62000</v>
      </c>
      <c r="G2">
        <v>90000</v>
      </c>
      <c r="H2">
        <v>23000</v>
      </c>
    </row>
    <row r="3" spans="1:8" x14ac:dyDescent="0.25">
      <c r="A3" s="1">
        <v>45659</v>
      </c>
      <c r="B3" t="s">
        <v>11</v>
      </c>
      <c r="C3" t="s">
        <v>12</v>
      </c>
      <c r="D3" t="s">
        <v>13</v>
      </c>
      <c r="E3">
        <v>25000</v>
      </c>
      <c r="F3">
        <v>18000</v>
      </c>
      <c r="G3">
        <v>30000</v>
      </c>
      <c r="H3">
        <v>7000</v>
      </c>
    </row>
    <row r="4" spans="1:8" x14ac:dyDescent="0.25">
      <c r="A4" s="1">
        <v>45660</v>
      </c>
      <c r="B4" t="s">
        <v>14</v>
      </c>
      <c r="C4" t="s">
        <v>15</v>
      </c>
      <c r="D4" t="s">
        <v>16</v>
      </c>
      <c r="E4">
        <v>60000</v>
      </c>
      <c r="F4">
        <v>42000</v>
      </c>
      <c r="G4">
        <v>65000</v>
      </c>
      <c r="H4">
        <v>18000</v>
      </c>
    </row>
    <row r="5" spans="1:8" x14ac:dyDescent="0.25">
      <c r="A5" s="1">
        <v>45661</v>
      </c>
      <c r="B5" t="s">
        <v>8</v>
      </c>
      <c r="C5" t="s">
        <v>9</v>
      </c>
      <c r="D5" t="s">
        <v>17</v>
      </c>
      <c r="E5">
        <v>92000</v>
      </c>
      <c r="F5">
        <v>70000</v>
      </c>
      <c r="G5">
        <v>95000</v>
      </c>
      <c r="H5">
        <v>22000</v>
      </c>
    </row>
    <row r="6" spans="1:8" x14ac:dyDescent="0.25">
      <c r="A6" s="1">
        <v>45662</v>
      </c>
      <c r="B6" t="s">
        <v>11</v>
      </c>
      <c r="C6" t="s">
        <v>18</v>
      </c>
      <c r="D6" t="s">
        <v>19</v>
      </c>
      <c r="E6">
        <v>30000</v>
      </c>
      <c r="F6">
        <v>21000</v>
      </c>
      <c r="G6">
        <v>32000</v>
      </c>
      <c r="H6">
        <v>9000</v>
      </c>
    </row>
    <row r="7" spans="1:8" x14ac:dyDescent="0.25">
      <c r="A7" s="1">
        <v>45663</v>
      </c>
      <c r="B7" t="s">
        <v>14</v>
      </c>
      <c r="C7" t="s">
        <v>12</v>
      </c>
      <c r="D7" t="s">
        <v>20</v>
      </c>
      <c r="E7">
        <v>28000</v>
      </c>
      <c r="F7">
        <v>19000</v>
      </c>
      <c r="G7">
        <v>30000</v>
      </c>
      <c r="H7">
        <v>9000</v>
      </c>
    </row>
    <row r="8" spans="1:8" x14ac:dyDescent="0.25">
      <c r="A8" s="1">
        <v>45664</v>
      </c>
      <c r="B8" t="s">
        <v>8</v>
      </c>
      <c r="C8" t="s">
        <v>15</v>
      </c>
      <c r="D8" t="s">
        <v>21</v>
      </c>
      <c r="E8">
        <v>75000</v>
      </c>
      <c r="F8">
        <v>50000</v>
      </c>
      <c r="G8">
        <v>80000</v>
      </c>
      <c r="H8">
        <v>25000</v>
      </c>
    </row>
    <row r="9" spans="1:8" x14ac:dyDescent="0.25">
      <c r="A9" s="1">
        <v>45665</v>
      </c>
      <c r="B9" t="s">
        <v>11</v>
      </c>
      <c r="C9" t="s">
        <v>9</v>
      </c>
      <c r="D9" t="s">
        <v>22</v>
      </c>
      <c r="E9">
        <v>88000</v>
      </c>
      <c r="F9">
        <v>64000</v>
      </c>
      <c r="G9">
        <v>90000</v>
      </c>
      <c r="H9">
        <v>24000</v>
      </c>
    </row>
    <row r="10" spans="1:8" x14ac:dyDescent="0.25">
      <c r="A10" s="1">
        <v>45666</v>
      </c>
      <c r="B10" t="s">
        <v>14</v>
      </c>
      <c r="C10" t="s">
        <v>18</v>
      </c>
      <c r="D10" t="s">
        <v>23</v>
      </c>
      <c r="E10">
        <v>27000</v>
      </c>
      <c r="F10">
        <v>20000</v>
      </c>
      <c r="G10">
        <v>29000</v>
      </c>
      <c r="H10">
        <v>7000</v>
      </c>
    </row>
    <row r="11" spans="1:8" x14ac:dyDescent="0.25">
      <c r="A11" s="1">
        <v>45667</v>
      </c>
      <c r="B11" t="s">
        <v>8</v>
      </c>
      <c r="C11" t="s">
        <v>12</v>
      </c>
      <c r="D11" t="s">
        <v>24</v>
      </c>
      <c r="E11">
        <v>26000</v>
      </c>
      <c r="F11">
        <v>18500</v>
      </c>
      <c r="G11">
        <v>28000</v>
      </c>
      <c r="H11">
        <v>7500</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Dashboard</vt:lpstr>
      <vt:lpstr>sales_data.csv</vt:lpstr>
      <vt:lpstr>Dashboard!Print_Area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Varun</dc:creator>
  <cp:lastModifiedBy>Varun</cp:lastModifiedBy>
  <cp:lastPrinted>2026-03-21T07:10:18Z</cp:lastPrinted>
  <dcterms:created xsi:type="dcterms:W3CDTF">2026-03-20T07:57:48Z</dcterms:created>
  <dcterms:modified xsi:type="dcterms:W3CDTF">2026-03-22T12:01:01Z</dcterms:modified>
</cp:coreProperties>
</file>